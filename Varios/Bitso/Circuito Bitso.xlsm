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ancisco\Desktop\Trabajo\XCapit\Bitso\"/>
    </mc:Choice>
  </mc:AlternateContent>
  <bookViews>
    <workbookView xWindow="0" yWindow="0" windowWidth="19200" windowHeight="7020"/>
  </bookViews>
  <sheets>
    <sheet name="Hoja1" sheetId="1" r:id="rId1"/>
  </sheets>
  <definedNames>
    <definedName name="solver_adj" localSheetId="0" hidden="1">Hoja1!$I$19</definedName>
    <definedName name="solver_cvg" localSheetId="0" hidden="1">"""""""0.0001"""""""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"""""""0.075"""""""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Hoja1!$D$13</definedName>
    <definedName name="solver_pre" localSheetId="0" hidden="1">"""""""0.000001"""""""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52511" calcMode="manual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I16" i="1" l="1"/>
  <c r="D12" i="1" s="1"/>
  <c r="J11" i="1"/>
  <c r="J12" i="1" s="1"/>
  <c r="J13" i="1" s="1"/>
  <c r="J14" i="1" s="1"/>
  <c r="J15" i="1" s="1"/>
  <c r="J16" i="1" l="1"/>
  <c r="J17" i="1" s="1"/>
  <c r="J18" i="1" s="1"/>
  <c r="J19" i="1" s="1"/>
  <c r="D13" i="1" s="1"/>
</calcChain>
</file>

<file path=xl/sharedStrings.xml><?xml version="1.0" encoding="utf-8"?>
<sst xmlns="http://schemas.openxmlformats.org/spreadsheetml/2006/main" count="46" uniqueCount="42">
  <si>
    <t>Compro CCL</t>
  </si>
  <si>
    <t>Extraccion en USA</t>
  </si>
  <si>
    <t>Deposito en Exchange</t>
  </si>
  <si>
    <t>Comisiones de compra</t>
  </si>
  <si>
    <t>Transferencia hacia Ex Arg</t>
  </si>
  <si>
    <t>XCapit</t>
  </si>
  <si>
    <t>* Simulación con datos al 20-01-2020 14:45hrs</t>
  </si>
  <si>
    <t>Inputs</t>
  </si>
  <si>
    <t>Dólar CCL (vendedor)</t>
  </si>
  <si>
    <t>Variable</t>
  </si>
  <si>
    <t>Valor</t>
  </si>
  <si>
    <t>Fuente</t>
  </si>
  <si>
    <t>Cronista</t>
  </si>
  <si>
    <t>Bitcoin</t>
  </si>
  <si>
    <t>OkExchange</t>
  </si>
  <si>
    <t>Fondeo de plaza BTC/ARS en BITSO</t>
  </si>
  <si>
    <t>Dólar implícito</t>
  </si>
  <si>
    <t>Operatoria</t>
  </si>
  <si>
    <t>Saldo</t>
  </si>
  <si>
    <t>Etapa del circuito</t>
  </si>
  <si>
    <t>Pesos iniciales en Argentina</t>
  </si>
  <si>
    <t>Notas</t>
  </si>
  <si>
    <t>Partimos con saldo líquido en Argentina</t>
  </si>
  <si>
    <t>Comisiones de CCL</t>
  </si>
  <si>
    <t>Esta operación tendrá comisiones sin dudas</t>
  </si>
  <si>
    <t>El fondeo en el broker puede tener costo. ¿Fijo o porcentual?</t>
  </si>
  <si>
    <t>Costo fondeo ALyC Argentina</t>
  </si>
  <si>
    <t>Compro BTC en OkExchange</t>
  </si>
  <si>
    <t>Pais</t>
  </si>
  <si>
    <t>Arg</t>
  </si>
  <si>
    <t>USA</t>
  </si>
  <si>
    <t>Esta operación puede tener costo</t>
  </si>
  <si>
    <t>Vendo BTC/ARS en BITSO</t>
  </si>
  <si>
    <t>Ganancia</t>
  </si>
  <si>
    <t>Podría ser una sola transferencia. Hay que considerar que la mayoría de extracciones tienen costo</t>
  </si>
  <si>
    <t>Otros factores a tener en cuenta</t>
  </si>
  <si>
    <t xml:space="preserve">Trading </t>
  </si>
  <si>
    <t>* Considerar demoras operativas. ¿Cuánto nos demoraría cerrar el círculo?</t>
  </si>
  <si>
    <t>* Vender BTC/ARS ilimitadamente podría significar un riesgo para Xcapit. ¿A partir de qué punto del circuito fijamos precio?</t>
  </si>
  <si>
    <t>* Para favorecer la fluidez de todo el circuito, se podría tener saldo disponble en todas las instituciones para comenzar con cada etapa cuando la anterior esté en proceso de liquidación y no tener que esperar a que esté liquidada.</t>
  </si>
  <si>
    <t>= factores a definir</t>
  </si>
  <si>
    <t>* Presionar Ctrl+X para hallar el break even del dólar implícito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</si>
</sst>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USD]\ * #,##0.00_);_([$USD]\ * \(#,##0.00\);_([$USD]\ 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0" fillId="3" borderId="0" xfId="0" applyFill="1"/>
    <xf numFmtId="44" fontId="0" fillId="0" borderId="1" xfId="2" applyFont="1" applyBorder="1"/>
    <xf numFmtId="164" fontId="0" fillId="0" borderId="1" xfId="2" applyNumberFormat="1" applyFont="1" applyBorder="1"/>
    <xf numFmtId="0" fontId="0" fillId="0" borderId="0" xfId="0" applyBorder="1"/>
    <xf numFmtId="0" fontId="3" fillId="6" borderId="1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0" fillId="8" borderId="2" xfId="0" applyFill="1" applyBorder="1"/>
    <xf numFmtId="9" fontId="0" fillId="8" borderId="2" xfId="3" applyFont="1" applyFill="1" applyBorder="1" applyAlignment="1">
      <alignment horizontal="center"/>
    </xf>
    <xf numFmtId="0" fontId="0" fillId="0" borderId="2" xfId="0" applyFont="1" applyBorder="1"/>
    <xf numFmtId="164" fontId="0" fillId="0" borderId="2" xfId="2" applyNumberFormat="1" applyFont="1" applyBorder="1" applyAlignment="1">
      <alignment horizontal="center"/>
    </xf>
    <xf numFmtId="43" fontId="0" fillId="0" borderId="2" xfId="1" applyFont="1" applyBorder="1"/>
    <xf numFmtId="43" fontId="0" fillId="8" borderId="2" xfId="1" applyFont="1" applyFill="1" applyBorder="1"/>
    <xf numFmtId="0" fontId="0" fillId="8" borderId="5" xfId="0" applyFill="1" applyBorder="1"/>
    <xf numFmtId="9" fontId="0" fillId="8" borderId="5" xfId="3" applyFont="1" applyFill="1" applyBorder="1" applyAlignment="1">
      <alignment horizontal="center"/>
    </xf>
    <xf numFmtId="43" fontId="0" fillId="8" borderId="5" xfId="1" applyFont="1" applyFill="1" applyBorder="1"/>
    <xf numFmtId="0" fontId="0" fillId="0" borderId="4" xfId="0" applyBorder="1"/>
    <xf numFmtId="44" fontId="0" fillId="0" borderId="4" xfId="2" applyFont="1" applyBorder="1"/>
    <xf numFmtId="9" fontId="1" fillId="8" borderId="2" xfId="3" applyFont="1" applyFill="1" applyBorder="1" applyAlignment="1">
      <alignment horizontal="center"/>
    </xf>
    <xf numFmtId="44" fontId="0" fillId="8" borderId="2" xfId="2" applyFont="1" applyFill="1" applyBorder="1"/>
    <xf numFmtId="0" fontId="0" fillId="0" borderId="2" xfId="0" applyBorder="1"/>
    <xf numFmtId="44" fontId="0" fillId="0" borderId="2" xfId="2" applyFont="1" applyBorder="1" applyAlignment="1">
      <alignment horizontal="center"/>
    </xf>
    <xf numFmtId="164" fontId="0" fillId="0" borderId="2" xfId="1" applyNumberFormat="1" applyFont="1" applyBorder="1"/>
    <xf numFmtId="0" fontId="0" fillId="8" borderId="5" xfId="0" applyFont="1" applyFill="1" applyBorder="1"/>
    <xf numFmtId="164" fontId="0" fillId="8" borderId="5" xfId="1" applyNumberFormat="1" applyFont="1" applyFill="1" applyBorder="1"/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0" fillId="0" borderId="12" xfId="0" applyBorder="1"/>
    <xf numFmtId="0" fontId="0" fillId="0" borderId="14" xfId="0" applyBorder="1"/>
    <xf numFmtId="0" fontId="0" fillId="0" borderId="16" xfId="0" applyBorder="1"/>
    <xf numFmtId="0" fontId="0" fillId="0" borderId="18" xfId="0" applyBorder="1"/>
    <xf numFmtId="43" fontId="0" fillId="0" borderId="18" xfId="1" applyFont="1" applyBorder="1"/>
    <xf numFmtId="0" fontId="0" fillId="0" borderId="19" xfId="0" applyBorder="1"/>
    <xf numFmtId="0" fontId="3" fillId="6" borderId="13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0" fillId="0" borderId="13" xfId="0" applyBorder="1"/>
    <xf numFmtId="0" fontId="0" fillId="0" borderId="20" xfId="0" applyBorder="1" applyAlignment="1">
      <alignment horizontal="center"/>
    </xf>
    <xf numFmtId="0" fontId="0" fillId="0" borderId="21" xfId="0" applyFill="1" applyBorder="1"/>
    <xf numFmtId="44" fontId="0" fillId="0" borderId="22" xfId="0" applyNumberFormat="1" applyBorder="1"/>
    <xf numFmtId="0" fontId="0" fillId="0" borderId="23" xfId="0" applyBorder="1" applyAlignment="1">
      <alignment horizontal="center"/>
    </xf>
    <xf numFmtId="0" fontId="3" fillId="9" borderId="17" xfId="0" applyFont="1" applyFill="1" applyBorder="1" applyAlignment="1">
      <alignment horizontal="center"/>
    </xf>
    <xf numFmtId="9" fontId="0" fillId="8" borderId="4" xfId="3" applyFont="1" applyFill="1" applyBorder="1" applyAlignment="1">
      <alignment horizontal="center" vertical="center"/>
    </xf>
    <xf numFmtId="164" fontId="0" fillId="8" borderId="4" xfId="1" applyNumberFormat="1" applyFont="1" applyFill="1" applyBorder="1" applyAlignment="1">
      <alignment horizontal="center" vertical="center"/>
    </xf>
    <xf numFmtId="9" fontId="0" fillId="8" borderId="2" xfId="3" applyFont="1" applyFill="1" applyBorder="1" applyAlignment="1">
      <alignment horizontal="center" vertical="center"/>
    </xf>
    <xf numFmtId="164" fontId="0" fillId="8" borderId="2" xfId="1" applyNumberFormat="1" applyFont="1" applyFill="1" applyBorder="1" applyAlignment="1">
      <alignment horizontal="center" vertical="center"/>
    </xf>
    <xf numFmtId="0" fontId="0" fillId="8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44" fontId="2" fillId="2" borderId="18" xfId="2" applyFont="1" applyFill="1" applyBorder="1"/>
    <xf numFmtId="44" fontId="4" fillId="2" borderId="1" xfId="2" applyFont="1" applyFill="1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43" fontId="0" fillId="0" borderId="0" xfId="1" applyFont="1" applyBorder="1"/>
    <xf numFmtId="0" fontId="0" fillId="8" borderId="0" xfId="0" applyFill="1" applyBorder="1"/>
    <xf numFmtId="0" fontId="0" fillId="0" borderId="0" xfId="0" quotePrefix="1" applyBorder="1"/>
    <xf numFmtId="0" fontId="6" fillId="0" borderId="0" xfId="0" applyFont="1" applyBorder="1"/>
    <xf numFmtId="0" fontId="0" fillId="3" borderId="24" xfId="0" applyFill="1" applyBorder="1"/>
    <xf numFmtId="0" fontId="0" fillId="3" borderId="27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8" xfId="0" applyFill="1" applyBorder="1"/>
    <xf numFmtId="0" fontId="0" fillId="0" borderId="26" xfId="0" applyFill="1" applyBorder="1"/>
    <xf numFmtId="0" fontId="0" fillId="0" borderId="28" xfId="0" applyFill="1" applyBorder="1"/>
    <xf numFmtId="0" fontId="7" fillId="5" borderId="0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/>
    </xf>
    <xf numFmtId="0" fontId="5" fillId="7" borderId="8" xfId="0" applyFont="1" applyFill="1" applyBorder="1" applyAlignment="1">
      <alignment horizontal="center"/>
    </xf>
    <xf numFmtId="0" fontId="0" fillId="0" borderId="13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20" xfId="0" applyBorder="1" applyAlignment="1">
      <alignment horizontal="left" wrapText="1"/>
    </xf>
    <xf numFmtId="0" fontId="0" fillId="0" borderId="21" xfId="0" applyBorder="1" applyAlignment="1">
      <alignment horizontal="left" wrapText="1"/>
    </xf>
    <xf numFmtId="0" fontId="0" fillId="0" borderId="22" xfId="0" applyBorder="1" applyAlignment="1">
      <alignment horizontal="left" wrapText="1"/>
    </xf>
    <xf numFmtId="0" fontId="0" fillId="0" borderId="23" xfId="0" applyBorder="1" applyAlignment="1">
      <alignment horizontal="left" wrapText="1"/>
    </xf>
    <xf numFmtId="0" fontId="6" fillId="0" borderId="0" xfId="0" applyFont="1" applyBorder="1" applyAlignment="1">
      <alignment horizontal="left"/>
    </xf>
    <xf numFmtId="0" fontId="0" fillId="0" borderId="1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3" fillId="9" borderId="11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C31"/>
  <sheetViews>
    <sheetView showGridLines="0" tabSelected="1" workbookViewId="0">
      <selection activeCell="F18" sqref="F18"/>
    </sheetView>
  </sheetViews>
  <sheetFormatPr baseColWidth="10" defaultColWidth="0" defaultRowHeight="14.5" x14ac:dyDescent="0.35"/>
  <cols>
    <col min="1" max="1" width="0.453125" style="57" customWidth="1"/>
    <col min="2" max="2" width="0.453125" style="51" customWidth="1"/>
    <col min="3" max="3" width="25.453125" style="4" customWidth="1"/>
    <col min="4" max="4" width="13" style="4" bestFit="1" customWidth="1"/>
    <col min="5" max="5" width="13.90625" style="4" customWidth="1"/>
    <col min="6" max="6" width="1.81640625" style="4" customWidth="1"/>
    <col min="7" max="7" width="4.1796875" style="4" bestFit="1" customWidth="1"/>
    <col min="8" max="8" width="25.1796875" style="4" bestFit="1" customWidth="1"/>
    <col min="9" max="9" width="13" style="4" bestFit="1" customWidth="1"/>
    <col min="10" max="10" width="15.1796875" style="4" customWidth="1"/>
    <col min="11" max="11" width="52.1796875" style="4" bestFit="1" customWidth="1"/>
    <col min="12" max="12" width="0.54296875" style="62" customWidth="1"/>
    <col min="13" max="13" width="8.984375E-2" style="60" customWidth="1"/>
    <col min="14" max="16383" width="10.90625" hidden="1"/>
    <col min="16384" max="16384" width="0.453125" style="1" customWidth="1"/>
  </cols>
  <sheetData>
    <row r="1" spans="1:13" s="1" customFormat="1" ht="2.5" customHeight="1" thickBot="1" x14ac:dyDescent="0.4">
      <c r="A1" s="56"/>
      <c r="B1" s="56"/>
      <c r="C1" s="58"/>
      <c r="D1" s="58"/>
      <c r="E1" s="58"/>
      <c r="F1" s="58"/>
      <c r="G1" s="58"/>
      <c r="H1" s="58"/>
      <c r="I1" s="58"/>
      <c r="J1" s="58"/>
      <c r="K1" s="58"/>
      <c r="L1" s="59"/>
      <c r="M1" s="59"/>
    </row>
    <row r="2" spans="1:13" ht="2.5" customHeight="1" x14ac:dyDescent="0.35">
      <c r="A2" s="56"/>
      <c r="B2" s="49"/>
      <c r="C2" s="50"/>
      <c r="D2" s="50"/>
      <c r="E2" s="50"/>
      <c r="F2" s="50"/>
      <c r="G2" s="50"/>
      <c r="H2" s="50"/>
      <c r="I2" s="50"/>
      <c r="J2" s="50"/>
      <c r="K2" s="50"/>
      <c r="L2" s="61"/>
      <c r="M2" s="59"/>
    </row>
    <row r="3" spans="1:13" ht="23.5" x14ac:dyDescent="0.55000000000000004">
      <c r="C3" s="63" t="s">
        <v>15</v>
      </c>
      <c r="D3" s="63"/>
      <c r="E3" s="63"/>
      <c r="F3" s="63"/>
      <c r="G3" s="63"/>
      <c r="H3" s="63"/>
      <c r="I3" s="63"/>
      <c r="J3" s="63"/>
      <c r="K3" s="63"/>
    </row>
    <row r="4" spans="1:13" ht="23.5" x14ac:dyDescent="0.55000000000000004">
      <c r="C4" s="64" t="s">
        <v>5</v>
      </c>
      <c r="D4" s="64"/>
      <c r="E4" s="64"/>
      <c r="F4" s="64"/>
      <c r="G4" s="64"/>
      <c r="H4" s="64"/>
      <c r="I4" s="64"/>
      <c r="J4" s="64"/>
      <c r="K4" s="64"/>
    </row>
    <row r="5" spans="1:13" ht="6" customHeight="1" x14ac:dyDescent="0.35"/>
    <row r="6" spans="1:13" x14ac:dyDescent="0.35">
      <c r="C6" s="74" t="s">
        <v>6</v>
      </c>
      <c r="D6" s="74"/>
      <c r="E6" s="74"/>
      <c r="F6" s="74"/>
      <c r="G6" s="74"/>
      <c r="H6" s="74"/>
      <c r="I6" s="74"/>
      <c r="J6" s="74"/>
      <c r="K6" s="74"/>
    </row>
    <row r="7" spans="1:13" ht="6" customHeight="1" thickBot="1" x14ac:dyDescent="0.4"/>
    <row r="8" spans="1:13" ht="18.5" x14ac:dyDescent="0.45">
      <c r="C8" s="65" t="s">
        <v>7</v>
      </c>
      <c r="D8" s="66"/>
      <c r="E8" s="67"/>
      <c r="G8" s="65" t="s">
        <v>36</v>
      </c>
      <c r="H8" s="66"/>
      <c r="I8" s="66"/>
      <c r="J8" s="66"/>
      <c r="K8" s="67"/>
    </row>
    <row r="9" spans="1:13" ht="15" thickBot="1" x14ac:dyDescent="0.4">
      <c r="C9" s="33" t="s">
        <v>9</v>
      </c>
      <c r="D9" s="5" t="s">
        <v>10</v>
      </c>
      <c r="E9" s="34" t="s">
        <v>11</v>
      </c>
      <c r="G9" s="25" t="s">
        <v>28</v>
      </c>
      <c r="H9" s="6" t="s">
        <v>19</v>
      </c>
      <c r="I9" s="6" t="s">
        <v>10</v>
      </c>
      <c r="J9" s="6" t="s">
        <v>18</v>
      </c>
      <c r="K9" s="26" t="s">
        <v>21</v>
      </c>
    </row>
    <row r="10" spans="1:13" ht="15" thickTop="1" x14ac:dyDescent="0.35">
      <c r="C10" s="35" t="s">
        <v>8</v>
      </c>
      <c r="D10" s="2">
        <v>81.349999999999994</v>
      </c>
      <c r="E10" s="36" t="s">
        <v>12</v>
      </c>
      <c r="G10" s="77" t="s">
        <v>29</v>
      </c>
      <c r="H10" s="16" t="s">
        <v>20</v>
      </c>
      <c r="I10" s="17">
        <v>1</v>
      </c>
      <c r="J10" s="17">
        <v>1000000</v>
      </c>
      <c r="K10" s="27" t="s">
        <v>22</v>
      </c>
    </row>
    <row r="11" spans="1:13" x14ac:dyDescent="0.35">
      <c r="C11" s="35" t="s">
        <v>13</v>
      </c>
      <c r="D11" s="3">
        <v>8656.9</v>
      </c>
      <c r="E11" s="36" t="s">
        <v>14</v>
      </c>
      <c r="G11" s="78"/>
      <c r="H11" s="7" t="s">
        <v>26</v>
      </c>
      <c r="I11" s="18">
        <v>0</v>
      </c>
      <c r="J11" s="19">
        <f>J10*(1-I11)</f>
        <v>1000000</v>
      </c>
      <c r="K11" s="28" t="s">
        <v>25</v>
      </c>
    </row>
    <row r="12" spans="1:13" x14ac:dyDescent="0.35">
      <c r="C12" s="35" t="s">
        <v>16</v>
      </c>
      <c r="D12" s="48">
        <f>I19/I16</f>
        <v>81.349999999999994</v>
      </c>
      <c r="E12" s="36" t="s">
        <v>17</v>
      </c>
      <c r="G12" s="78"/>
      <c r="H12" s="20" t="s">
        <v>0</v>
      </c>
      <c r="I12" s="21">
        <f>D10</f>
        <v>81.349999999999994</v>
      </c>
      <c r="J12" s="22">
        <f>J11/I12</f>
        <v>12292.562999385373</v>
      </c>
      <c r="K12" s="28"/>
    </row>
    <row r="13" spans="1:13" ht="15" thickBot="1" x14ac:dyDescent="0.4">
      <c r="C13" s="37" t="s">
        <v>33</v>
      </c>
      <c r="D13" s="38">
        <f>J19-J10</f>
        <v>0</v>
      </c>
      <c r="E13" s="39" t="s">
        <v>17</v>
      </c>
      <c r="G13" s="79"/>
      <c r="H13" s="23" t="s">
        <v>23</v>
      </c>
      <c r="I13" s="14">
        <v>0</v>
      </c>
      <c r="J13" s="24">
        <f>J12*(1-I13)</f>
        <v>12292.562999385373</v>
      </c>
      <c r="K13" s="29" t="s">
        <v>24</v>
      </c>
    </row>
    <row r="14" spans="1:13" ht="15.5" thickTop="1" thickBot="1" x14ac:dyDescent="0.4">
      <c r="E14" s="52"/>
      <c r="G14" s="80" t="s">
        <v>30</v>
      </c>
      <c r="H14" s="45" t="s">
        <v>1</v>
      </c>
      <c r="I14" s="41">
        <v>0</v>
      </c>
      <c r="J14" s="42">
        <f>J13*(1-I14)</f>
        <v>12292.562999385373</v>
      </c>
      <c r="K14" s="75" t="s">
        <v>34</v>
      </c>
    </row>
    <row r="15" spans="1:13" ht="18.5" x14ac:dyDescent="0.45">
      <c r="C15" s="65" t="s">
        <v>35</v>
      </c>
      <c r="D15" s="66"/>
      <c r="E15" s="67"/>
      <c r="G15" s="81"/>
      <c r="H15" s="46" t="s">
        <v>2</v>
      </c>
      <c r="I15" s="43">
        <v>0</v>
      </c>
      <c r="J15" s="44">
        <f>J14*(1-I15)</f>
        <v>12292.562999385373</v>
      </c>
      <c r="K15" s="76"/>
    </row>
    <row r="16" spans="1:13" x14ac:dyDescent="0.35">
      <c r="C16" s="68" t="s">
        <v>37</v>
      </c>
      <c r="D16" s="69"/>
      <c r="E16" s="70"/>
      <c r="G16" s="81"/>
      <c r="H16" s="9" t="s">
        <v>27</v>
      </c>
      <c r="I16" s="10">
        <f>D11</f>
        <v>8656.9</v>
      </c>
      <c r="J16" s="11">
        <f>J15/I16</f>
        <v>1.4199728539529592</v>
      </c>
      <c r="K16" s="28"/>
    </row>
    <row r="17" spans="3:11" x14ac:dyDescent="0.35">
      <c r="C17" s="68"/>
      <c r="D17" s="69"/>
      <c r="E17" s="70"/>
      <c r="G17" s="81"/>
      <c r="H17" s="7" t="s">
        <v>3</v>
      </c>
      <c r="I17" s="8">
        <v>0</v>
      </c>
      <c r="J17" s="12">
        <f>J16*(1-I17)</f>
        <v>1.4199728539529592</v>
      </c>
      <c r="K17" s="28" t="s">
        <v>24</v>
      </c>
    </row>
    <row r="18" spans="3:11" ht="16.5" customHeight="1" thickBot="1" x14ac:dyDescent="0.4">
      <c r="C18" s="68" t="s">
        <v>38</v>
      </c>
      <c r="D18" s="69"/>
      <c r="E18" s="70"/>
      <c r="G18" s="82"/>
      <c r="H18" s="13" t="s">
        <v>4</v>
      </c>
      <c r="I18" s="14">
        <v>0</v>
      </c>
      <c r="J18" s="15">
        <f>J17*(1-I18)</f>
        <v>1.4199728539529592</v>
      </c>
      <c r="K18" s="29" t="s">
        <v>31</v>
      </c>
    </row>
    <row r="19" spans="3:11" ht="15.5" thickTop="1" thickBot="1" x14ac:dyDescent="0.4">
      <c r="C19" s="68"/>
      <c r="D19" s="69"/>
      <c r="E19" s="70"/>
      <c r="G19" s="40" t="s">
        <v>29</v>
      </c>
      <c r="H19" s="30" t="s">
        <v>32</v>
      </c>
      <c r="I19" s="47">
        <v>704238.81499999994</v>
      </c>
      <c r="J19" s="31">
        <f>J18*I19</f>
        <v>1000000</v>
      </c>
      <c r="K19" s="32"/>
    </row>
    <row r="20" spans="3:11" ht="14.5" customHeight="1" x14ac:dyDescent="0.35">
      <c r="C20" s="68" t="s">
        <v>39</v>
      </c>
      <c r="D20" s="69"/>
      <c r="E20" s="70"/>
    </row>
    <row r="21" spans="3:11" x14ac:dyDescent="0.35">
      <c r="C21" s="68"/>
      <c r="D21" s="69"/>
      <c r="E21" s="70"/>
      <c r="G21" s="53"/>
      <c r="H21" s="54" t="s">
        <v>40</v>
      </c>
    </row>
    <row r="22" spans="3:11" x14ac:dyDescent="0.35">
      <c r="C22" s="68"/>
      <c r="D22" s="69"/>
      <c r="E22" s="70"/>
      <c r="G22" s="55" t="s">
        <v>41</v>
      </c>
    </row>
    <row r="23" spans="3:11" ht="15" thickBot="1" x14ac:dyDescent="0.4">
      <c r="C23" s="71"/>
      <c r="D23" s="72"/>
      <c r="E23" s="73"/>
    </row>
    <row r="24" spans="3:11" x14ac:dyDescent="0.35">
      <c r="E24" s="52"/>
    </row>
    <row r="25" spans="3:11" x14ac:dyDescent="0.35">
      <c r="E25" s="52"/>
    </row>
    <row r="26" spans="3:11" x14ac:dyDescent="0.35">
      <c r="E26" s="52"/>
    </row>
    <row r="27" spans="3:11" x14ac:dyDescent="0.35">
      <c r="E27" s="52"/>
    </row>
    <row r="28" spans="3:11" x14ac:dyDescent="0.35">
      <c r="E28" s="52"/>
    </row>
    <row r="29" spans="3:11" x14ac:dyDescent="0.35">
      <c r="E29" s="52"/>
    </row>
    <row r="30" spans="3:11" x14ac:dyDescent="0.35">
      <c r="E30" s="52"/>
    </row>
    <row r="31" spans="3:11" x14ac:dyDescent="0.35">
      <c r="E31" s="52"/>
    </row>
  </sheetData>
  <mergeCells count="12">
    <mergeCell ref="C3:K3"/>
    <mergeCell ref="C4:K4"/>
    <mergeCell ref="C8:E8"/>
    <mergeCell ref="C20:E23"/>
    <mergeCell ref="C6:K6"/>
    <mergeCell ref="K14:K15"/>
    <mergeCell ref="G8:K8"/>
    <mergeCell ref="G10:G13"/>
    <mergeCell ref="G14:G18"/>
    <mergeCell ref="C15:E15"/>
    <mergeCell ref="C16:E17"/>
    <mergeCell ref="C18:E19"/>
  </mergeCells>
  <conditionalFormatting sqref="D13">
    <cfRule type="expression" dxfId="1" priority="1">
      <formula>$D$13&gt;0</formula>
    </cfRule>
    <cfRule type="expression" dxfId="0" priority="2">
      <formula>$D$13&lt;0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</dc:creator>
  <cp:lastModifiedBy>Francisco</cp:lastModifiedBy>
  <dcterms:created xsi:type="dcterms:W3CDTF">2020-01-22T17:35:10Z</dcterms:created>
  <dcterms:modified xsi:type="dcterms:W3CDTF">2020-01-26T17:24:19Z</dcterms:modified>
</cp:coreProperties>
</file>